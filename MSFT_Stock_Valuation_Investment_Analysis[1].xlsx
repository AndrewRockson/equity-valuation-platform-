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512fe9b38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9ce6e8d33d4a32"/>
    <x:sheet xmlns:r="http://schemas.openxmlformats.org/officeDocument/2006/relationships" name="DCF" sheetId="2" r:id="Rac48cf9abe2b4c36"/>
    <x:sheet xmlns:r="http://schemas.openxmlformats.org/officeDocument/2006/relationships" name="Comparable Companies" sheetId="3" r:id="R7f19665d6c474c6a"/>
    <x:sheet xmlns:r="http://schemas.openxmlformats.org/officeDocument/2006/relationships" name="Historical Financials" sheetId="4" r:id="R7f7008291bab4767"/>
    <x:sheet xmlns:r="http://schemas.openxmlformats.org/officeDocument/2006/relationships" name="Sources" sheetId="5" r:id="R33d903aa1496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($#,##0);-"/>
    <x:numFmt numFmtId="201" formatCode="0.0%;[Red](0.0%);-"/>
    <x:numFmt numFmtId="202" formatCode="$0.00;[Red]($0.00);-"/>
    <x:numFmt numFmtId="203" formatCode="#,##0;[Red](#,##0);-"/>
    <x:numFmt numFmtId="204" formatCode="$0.00"/>
    <x:numFmt numFmtId="205" formatCode="0.0x;[Red](0.0x);-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sz val="11"/>
      <x:color rgb="FF008000"/>
      <x:name val="Carlito"/>
    </x:font>
    <x:font>
      <x:b/>
      <x:sz val="1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4" fillId="0" borderId="1" xfId="0" applyNumberFormat="1" applyFont="1" applyFill="1" applyBorder="1"/>
    <x:xf numFmtId="200" fontId="5" fillId="0" borderId="1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/>
    <x:xf numFmtId="201" fontId="4" fillId="0" borderId="1" xfId="0" applyNumberFormat="1" applyFont="1" applyFill="1" applyBorder="1"/>
    <x:xf numFmtId="201" fontId="5" fillId="0" borderId="1" xfId="0" applyNumberFormat="1" applyFont="1" applyFill="1" applyBorder="1"/>
    <x:xf numFmtId="202" fontId="4" fillId="0" borderId="0" xfId="0" applyNumberFormat="1" applyFont="1" applyFill="1" applyBorder="1"/>
    <x:xf numFmtId="202" fontId="5" fillId="0" borderId="0" xfId="0" applyNumberFormat="1" applyFont="1" applyFill="1" applyBorder="1"/>
    <x:xf numFmtId="202" fontId="4" fillId="0" borderId="1" xfId="0" applyNumberFormat="1" applyFont="1" applyFill="1" applyBorder="1"/>
    <x:xf numFmtId="202" fontId="5" fillId="0" borderId="1" xfId="0" applyNumberFormat="1" applyFont="1" applyFill="1" applyBorder="1"/>
    <x:xf numFmtId="0" fontId="0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0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3" fillId="5" borderId="0" xfId="0" applyNumberFormat="1" applyFont="1" applyFill="1" applyBorder="1"/>
    <x:xf numFmtId="204" fontId="3" fillId="5" borderId="0" xfId="0" applyNumberFormat="1" applyFont="1" applyFill="1" applyBorder="1"/>
    <x:xf numFmtId="0" fontId="0" fillId="5" borderId="1" xfId="0" applyNumberFormat="1" applyFont="1" applyFill="1" applyBorder="1"/>
    <x:xf numFmtId="204" fontId="0" fillId="5" borderId="1" xfId="0" applyNumberFormat="1" applyFont="1" applyFill="1" applyBorder="1"/>
    <x:xf numFmtId="0" fontId="3" fillId="5" borderId="1" xfId="0" applyNumberFormat="1" applyFont="1" applyFill="1" applyBorder="1"/>
    <x:xf numFmtId="204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5" fontId="0" fillId="0" borderId="0" xfId="0" applyNumberFormat="1" applyFont="1" applyFill="1" applyBorder="1"/>
    <x:xf numFmtId="205" fontId="3" fillId="6" borderId="0" xfId="0" applyNumberFormat="1" applyFont="1" applyFill="1" applyBorder="1"/>
    <x:xf numFmtId="205" fontId="0" fillId="0" borderId="1" xfId="0" applyNumberFormat="1" applyFont="1" applyFill="1" applyBorder="1"/>
    <x:xf numFmtId="205" fontId="3" fillId="6" borderId="1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4" fontId="4" fillId="0" borderId="1" xfId="0" applyNumberFormat="1" applyFont="1" applyFill="1" applyBorder="1"/>
    <x:xf numFmtId="205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204" fontId="8" fillId="0" borderId="0" xfId="0" applyNumberFormat="1" applyFont="1" applyFill="1" applyBorder="1"/>
    <x:xf numFmtId="201" fontId="8" fillId="0" borderId="0" xfId="0" applyNumberFormat="1" applyFont="1" applyFill="1" applyBorder="1"/>
    <x:xf numFmtId="204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4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8fd30561944ab" /><Relationship Type="http://schemas.openxmlformats.org/officeDocument/2006/relationships/theme" Target="/xl/theme/theme1.xml" Id="R6f8bde540de04fbb" /><Relationship Type="http://schemas.openxmlformats.org/officeDocument/2006/relationships/sharedStrings" Target="/xl/sharedStrings.xml" Id="R4db13e7de08b4605" /><Relationship Type="http://schemas.openxmlformats.org/officeDocument/2006/relationships/worksheet" Target="/xl/worksheets/sheet1.xml" Id="Rb49ce6e8d33d4a32" /><Relationship Type="http://schemas.openxmlformats.org/officeDocument/2006/relationships/worksheet" Target="/xl/worksheets/sheet2.xml" Id="Rac48cf9abe2b4c36" /><Relationship Type="http://schemas.openxmlformats.org/officeDocument/2006/relationships/worksheet" Target="/xl/worksheets/sheet3.xml" Id="R7f19665d6c474c6a" /><Relationship Type="http://schemas.openxmlformats.org/officeDocument/2006/relationships/worksheet" Target="/xl/worksheets/sheet4.xml" Id="R7f7008291bab4767" /><Relationship Type="http://schemas.openxmlformats.org/officeDocument/2006/relationships/worksheet" Target="/xl/worksheets/sheet5.xml" Id="R33d903aa14964b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a1129094a944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MSFT Valuation Comparison ($ / share)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'Summary'!$A$5:$A$9</c:f>
              <c:strCache>
                <c:ptCount val="0"/>
              </c:strCache>
            </c:strRef>
          </c:cat>
          <c:val>
            <c:numRef>
              <c:f>'Summary'!$B$5:$B$9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a1129094a944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d1a395eb3f4c9c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96" t="str">
        <x:v>Microsoft (MSFT) — Stock Valuation &amp; Investment Analysis</x:v>
      </x:c>
      <x:c r="B1" s="96"/>
      <x:c r="C1" s="96"/>
      <x:c r="D1" s="96"/>
      <x:c r="E1" s="96"/>
      <x:c r="F1" s="96"/>
      <x:c r="G1" s="96"/>
      <x:c r="H1" s="96"/>
    </x:row>
    <x:row r="2">
      <x:c r="A2" s="97" t="str">
        <x:v>DCF + Comparable Company Analysis | Resume Portfolio Project | August 2026</x:v>
      </x:c>
      <x:c r="B2" s="97"/>
      <x:c r="C2" s="97"/>
      <x:c r="D2" s="97"/>
      <x:c r="E2" s="97"/>
      <x:c r="F2" s="97"/>
      <x:c r="G2" s="97"/>
      <x:c r="H2" s="97"/>
    </x:row>
    <x:row r="3">
      <x:c r="A3" s="7"/>
      <x:c r="B3" s="7"/>
      <x:c r="C3" s="7"/>
      <x:c r="D3" s="7"/>
      <x:c r="E3" s="7"/>
      <x:c r="F3" s="7"/>
      <x:c r="G3" s="7"/>
      <x:c r="H3" s="7"/>
    </x:row>
    <x:row r="4">
      <x:c r="A4" s="6" t="str">
        <x:v>Valuation Snapshot</x:v>
      </x:c>
      <x:c r="B4" s="6"/>
      <x:c r="C4" s="6"/>
      <x:c r="D4" s="6"/>
      <x:c r="E4" s="7"/>
      <x:c r="F4" s="6" t="str">
        <x:v>Investment Recommendation</x:v>
      </x:c>
      <x:c r="G4" s="6"/>
      <x:c r="H4" s="6"/>
    </x:row>
    <x:row r="5">
      <x:c r="A5" s="7" t="str">
        <x:v>Current Share Price</x:v>
      </x:c>
      <x:c r="B5" s="98" t="n">
        <x:v>481.63</x:v>
      </x:c>
      <x:c r="C5" s="7"/>
      <x:c r="D5" s="7"/>
      <x:c r="E5" s="7"/>
      <x:c r="F5" s="99" t="str">
        <x:v>SELL / AVOID AT CURRENT VALUATION</x:v>
      </x:c>
      <x:c r="G5" s="99"/>
      <x:c r="H5" s="99"/>
    </x:row>
    <x:row r="6">
      <x:c r="A6" s="7" t="str">
        <x:v>DCF Implied Value</x:v>
      </x:c>
      <x:c r="B6" s="100" t="n">
        <x:f>DCF!B33</x:f>
        <x:v>245.16706129861134</x:v>
      </x:c>
      <x:c r="C6" s="7"/>
      <x:c r="D6" s="7"/>
      <x:c r="E6" s="7"/>
      <x:c r="F6" s="99"/>
      <x:c r="G6" s="99"/>
      <x:c r="H6" s="99"/>
    </x:row>
    <x:row r="7">
      <x:c r="A7" s="7" t="str">
        <x:v>P/E Comps Implied Value</x:v>
      </x:c>
      <x:c r="B7" s="100" t="n">
        <x:f>'Comparable Companies'!B17</x:f>
        <x:v>402.08</x:v>
      </x:c>
      <x:c r="C7" s="7"/>
      <x:c r="D7" s="7"/>
      <x:c r="E7" s="7"/>
      <x:c r="F7" s="7" t="str">
        <x:v>The business remains high quality, but this model indicates the market price embeds more optimistic cash-flow growth and/or a lower required return than the base-case assumptions. The conclusion is valuation-driven, not a negative view of Microsoft's competitive position.</x:v>
      </x:c>
      <x:c r="G7" s="7"/>
      <x:c r="H7" s="7"/>
    </x:row>
    <x:row r="8">
      <x:c r="A8" s="7" t="str">
        <x:v>EV / Sales Implied Value</x:v>
      </x:c>
      <x:c r="B8" s="100" t="n">
        <x:f>'Comparable Companies'!B18</x:f>
        <x:v>281.7262590604027</x:v>
      </x:c>
      <x:c r="C8" s="7"/>
      <x:c r="D8" s="7"/>
      <x:c r="E8" s="7"/>
      <x:c r="F8" s="7"/>
      <x:c r="G8" s="7"/>
      <x:c r="H8" s="7"/>
    </x:row>
    <x:row r="9">
      <x:c r="A9" s="7" t="str">
        <x:v>Blended Fair Value</x:v>
      </x:c>
      <x:c r="B9" s="100" t="n">
        <x:f>AVERAGE(B6:B8)</x:f>
        <x:v>309.65777345300467</x:v>
      </x:c>
      <x:c r="C9" s="7"/>
      <x:c r="D9" s="7"/>
      <x:c r="E9" s="7"/>
      <x:c r="F9" s="7"/>
      <x:c r="G9" s="7"/>
      <x:c r="H9" s="7"/>
    </x:row>
    <x:row r="10">
      <x:c r="A10" s="7" t="str">
        <x:v>Upside / (Downside)</x:v>
      </x:c>
      <x:c r="B10" s="101" t="n">
        <x:f>B9/B5-1</x:f>
        <x:v>-0.3570629457197336</x:v>
      </x:c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6" t="str">
        <x:v>Investment Thesis</x:v>
      </x:c>
      <x:c r="B12" s="6"/>
      <x:c r="C12" s="6"/>
      <x:c r="D12" s="6"/>
      <x:c r="E12" s="6"/>
      <x:c r="F12" s="6"/>
      <x:c r="G12" s="6"/>
      <x:c r="H12" s="6"/>
    </x:row>
    <x:row r="13">
      <x:c r="A13" s="7" t="str">
        <x:v>Microsoft delivered FY2026 revenue of $331.8B (+18%) and operating income of $155.2B (+21%), while Azure revenue surpassed $100B for the first time. AI and cloud demand remain powerful growth drivers. However, rapid infrastructure investment compressed FY2026 free cash flow to roughly $67.0B despite strong operating cash generation. A five-year DCF using declining FCF growth, an 8.5% WACC and 3.0% terminal growth rate produces a value materially below the recent share price. Comparable-company P/E and EV/Sales cross-checks also imply downside, supporting a valuation-based Sell/Avoid conclusion.</x:v>
      </x:c>
      <x:c r="B13" s="7"/>
      <x:c r="C13" s="7"/>
      <x:c r="D13" s="7"/>
      <x:c r="E13" s="7"/>
      <x:c r="F13" s="7"/>
      <x:c r="G13" s="7"/>
      <x:c r="H13" s="7"/>
    </x:row>
    <x:row r="14">
      <x:c r="A14" s="7"/>
      <x:c r="B14" s="7"/>
      <x:c r="C14" s="7"/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6" t="str">
        <x:v>Key Catalysts</x:v>
      </x:c>
      <x:c r="B18" s="6"/>
      <x:c r="C18" s="6"/>
      <x:c r="D18" s="6"/>
      <x:c r="E18" s="6" t="str">
        <x:v>Key Risks to Thesis</x:v>
      </x:c>
      <x:c r="F18" s="6"/>
      <x:c r="G18" s="6"/>
      <x:c r="H18" s="6"/>
    </x:row>
    <x:row r="19">
      <x:c r="A19" s="7" t="str">
        <x:v>• Azure growth and continued cloud share gains
• Monetization of Microsoft 365 Copilot and enterprise AI agents
• Better utilization of AI infrastructure and improving FCF conversion
• Growth in commercial remaining performance obligations</x:v>
      </x:c>
      <x:c r="B19" s="7"/>
      <x:c r="C19" s="7"/>
      <x:c r="D19" s="7"/>
      <x:c r="E19" s="7" t="str">
        <x:v>• AI capex remains elevated for longer than expected
• Competitive pressure from Alphabet, Oracle, Amazon and AI-native firms
• Multiple compression from higher interest rates
• Upside risk: AI monetization materially exceeds the model's assumptions</x:v>
      </x:c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  <x:row r="21">
      <x:c r="A21" s="7"/>
      <x:c r="B21" s="7"/>
      <x:c r="C21" s="7"/>
      <x:c r="D21" s="7"/>
      <x:c r="E21" s="7"/>
      <x:c r="F21" s="7"/>
      <x:c r="G21" s="7"/>
      <x:c r="H21" s="7"/>
    </x:row>
    <x:row r="22">
      <x:c r="A22" s="7"/>
      <x:c r="B22" s="7"/>
      <x:c r="C22" s="7"/>
      <x:c r="D22" s="7"/>
      <x:c r="E22" s="7"/>
      <x:c r="F22" s="7"/>
      <x:c r="G22" s="7"/>
      <x:c r="H22" s="7"/>
    </x:row>
    <x:row r="23">
      <x:c r="A23" s="7"/>
      <x:c r="B23" s="7"/>
      <x:c r="C23" s="7"/>
      <x:c r="D23" s="7"/>
      <x:c r="E23" s="7"/>
      <x:c r="F23" s="7"/>
      <x:c r="G23" s="7"/>
      <x:c r="H23" s="7"/>
    </x:row>
    <x:row r="24">
      <x:c r="A24" s="6" t="str">
        <x:v>Project Takeaway</x:v>
      </x:c>
      <x:c r="B24" s="6"/>
      <x:c r="C24" s="6"/>
      <x:c r="D24" s="6"/>
      <x:c r="E24" s="6"/>
      <x:c r="F24" s="6"/>
      <x:c r="G24" s="6"/>
      <x:c r="H24" s="6"/>
    </x:row>
    <x:row r="25">
      <x:c r="A25" s="7" t="str">
        <x:v>This project demonstrates equity research, financial statement analysis, DCF modeling, comparable-company valuation, sensitivity analysis and investment recommendation development. All hardcoded financial inputs are sourced on the Sources tab.</x:v>
      </x:c>
      <x:c r="B25" s="7"/>
      <x:c r="C25" s="7"/>
      <x:c r="D25" s="7"/>
      <x:c r="E25" s="7"/>
      <x:c r="F25" s="7"/>
      <x:c r="G25" s="7"/>
      <x:c r="H25" s="7"/>
    </x:row>
    <x:row r="26">
      <x:c r="A26" s="7"/>
      <x:c r="B26" s="7"/>
      <x:c r="C26" s="7"/>
      <x:c r="D26" s="7"/>
      <x:c r="E26" s="7"/>
      <x:c r="F26" s="7"/>
      <x:c r="G26" s="7"/>
      <x:c r="H26" s="7"/>
    </x:row>
    <x:row r="27">
      <x:c r="A27" s="7"/>
      <x:c r="B27" s="7"/>
      <x:c r="C27" s="7"/>
      <x:c r="D27" s="7"/>
      <x:c r="E27" s="7"/>
      <x:c r="F27" s="7"/>
      <x:c r="G27" s="7"/>
      <x:c r="H27" s="7"/>
    </x:row>
  </x:sheetData>
  <x:mergeCells>
    <x:mergeCell ref="A1:H1"/>
    <x:mergeCell ref="A2:H2"/>
    <x:mergeCell ref="A4:D4"/>
    <x:mergeCell ref="F4:H4"/>
    <x:mergeCell ref="F5:H6"/>
    <x:mergeCell ref="F7:H10"/>
    <x:mergeCell ref="A12:H12"/>
    <x:mergeCell ref="A13:H16"/>
    <x:mergeCell ref="A18:D18"/>
    <x:mergeCell ref="A19:D22"/>
    <x:mergeCell ref="E18:H18"/>
    <x:mergeCell ref="E19:H22"/>
    <x:mergeCell ref="A24:H24"/>
    <x:mergeCell ref="A25:H27"/>
  </x:mergeCells>
  <x:pageMargins left="0.7" right="0.7" top="0.75" bottom="0.75" header="0.3" footer="0.3"/>
  <x:drawing xmlns:r="http://schemas.openxmlformats.org/officeDocument/2006/relationships" r:id="R78d1a395eb3f4c9c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0" t="str">
        <x:v>Discounted Cash Flow Valuation — Microsoft (MSFT)</x:v>
      </x:c>
      <x:c r="B1" s="10"/>
      <x:c r="C1" s="10"/>
      <x:c r="D1" s="10"/>
      <x:c r="E1" s="10"/>
      <x:c r="F1" s="10"/>
      <x:c r="G1" s="10"/>
      <x:c r="H1" s="10"/>
    </x:row>
    <x:row r="3">
      <x:c r="A3" s="3" t="str">
        <x:v>Key Assumptions</x:v>
      </x:c>
      <x:c r="B3" s="3"/>
      <x:c r="C3" s="3"/>
      <x:c r="D3" s="3"/>
    </x:row>
    <x:row r="4">
      <x:c r="A4" t="str">
        <x:v>Base FY26 Free Cash Flow ($mm)</x:v>
      </x:c>
      <x:c r="B4" s="44" t="n">
        <x:v>66987</x:v>
      </x:c>
    </x:row>
    <x:row r="5">
      <x:c r="A5" t="str">
        <x:v>Year 1 Growth</x:v>
      </x:c>
      <x:c r="B5" s="42" t="n">
        <x:v>0.15</x:v>
      </x:c>
    </x:row>
    <x:row r="6">
      <x:c r="A6" t="str">
        <x:v>Year 2 Growth</x:v>
      </x:c>
      <x:c r="B6" s="42" t="n">
        <x:v>0.13</x:v>
      </x:c>
    </x:row>
    <x:row r="7">
      <x:c r="A7" t="str">
        <x:v>Year 3 Growth</x:v>
      </x:c>
      <x:c r="B7" s="42" t="n">
        <x:v>0.11</x:v>
      </x:c>
    </x:row>
    <x:row r="8">
      <x:c r="A8" t="str">
        <x:v>Year 4 Growth</x:v>
      </x:c>
      <x:c r="B8" s="42" t="n">
        <x:v>0.09</x:v>
      </x:c>
    </x:row>
    <x:row r="9">
      <x:c r="A9" t="str">
        <x:v>Year 5 Growth</x:v>
      </x:c>
      <x:c r="B9" s="42" t="n">
        <x:v>0.07</x:v>
      </x:c>
    </x:row>
    <x:row r="10">
      <x:c r="A10" t="str">
        <x:v>WACC</x:v>
      </x:c>
      <x:c r="B10" s="42" t="n">
        <x:v>0.085</x:v>
      </x:c>
    </x:row>
    <x:row r="11">
      <x:c r="A11" t="str">
        <x:v>Terminal Growth Rate</x:v>
      </x:c>
      <x:c r="B11" s="42" t="n">
        <x:v>0.03</x:v>
      </x:c>
    </x:row>
    <x:row r="12">
      <x:c r="B12" s="38"/>
    </x:row>
    <x:row r="13">
      <x:c r="A13" t="str">
        <x:v>Cash + Short-Term Investments ($mm)</x:v>
      </x:c>
      <x:c r="B13" s="44" t="n">
        <x:v>94565</x:v>
      </x:c>
    </x:row>
    <x:row r="14">
      <x:c r="A14" t="str">
        <x:v>Total Debt ($mm)</x:v>
      </x:c>
      <x:c r="B14" s="44" t="n">
        <x:v>43151</x:v>
      </x:c>
    </x:row>
    <x:row r="15">
      <x:c r="A15" t="str">
        <x:v>Net Cash ($mm)</x:v>
      </x:c>
      <x:c r="B15" s="46" t="n">
        <x:f>B13-B14</x:f>
        <x:v>51414</x:v>
      </x:c>
    </x:row>
    <x:row r="16">
      <x:c r="A16" t="str">
        <x:v>Diluted Shares Outstanding (mm)</x:v>
      </x:c>
      <x:c r="B16" s="48" t="n">
        <x:v>7450</x:v>
      </x:c>
    </x:row>
    <x:row r="18">
      <x:c r="A18" s="3" t="str">
        <x:v>Free Cash Flow Forecast</x:v>
      </x:c>
      <x:c r="B18" s="3"/>
      <x:c r="C18" s="3"/>
      <x:c r="D18" s="3"/>
      <x:c r="E18" s="3"/>
      <x:c r="F18" s="3"/>
      <x:c r="G18" s="3"/>
      <x:c r="H18" s="3"/>
    </x:row>
    <x:row r="19">
      <x:c r="A19" s="13" t="str">
        <x:v>$ in millions</x:v>
      </x:c>
      <x:c r="B19" s="13" t="str">
        <x:v>FY2026A</x:v>
      </x:c>
      <x:c r="C19" s="13" t="str">
        <x:v>FY2027E</x:v>
      </x:c>
      <x:c r="D19" s="13" t="str">
        <x:v>FY2028E</x:v>
      </x:c>
      <x:c r="E19" s="13" t="str">
        <x:v>FY2029E</x:v>
      </x:c>
      <x:c r="F19" s="13" t="str">
        <x:v>FY2030E</x:v>
      </x:c>
      <x:c r="G19" s="13" t="str">
        <x:v>FY2031E</x:v>
      </x:c>
    </x:row>
    <x:row r="20">
      <x:c r="A20" t="str">
        <x:v>Free Cash Flow</x:v>
      </x:c>
      <x:c r="B20" s="50" t="n">
        <x:f>B4</x:f>
        <x:v>66987</x:v>
      </x:c>
      <x:c r="C20" s="50" t="n">
        <x:f>B20*(1+$B$5)</x:f>
        <x:v>77035.04999999999</x:v>
      </x:c>
      <x:c r="D20" s="50" t="n">
        <x:f>C20*(1+$B$6)</x:f>
        <x:v>87049.60649999998</x:v>
      </x:c>
      <x:c r="E20" s="50" t="n">
        <x:f>D20*(1+$B$7)</x:f>
        <x:v>96625.06321499999</x:v>
      </x:c>
      <x:c r="F20" s="50" t="n">
        <x:f>E20*(1+$B$8)</x:f>
        <x:v>105321.31890434999</x:v>
      </x:c>
      <x:c r="G20" s="50" t="n">
        <x:f>F20*(1+$B$9)</x:f>
        <x:v>112693.8112276545</x:v>
      </x:c>
    </x:row>
    <x:row r="21">
      <x:c r="A21" t="str">
        <x:v>Growth</x:v>
      </x:c>
      <x:c r="C21" s="52" t="n">
        <x:f>$B$5</x:f>
        <x:v>0.15</x:v>
      </x:c>
      <x:c r="D21" s="52" t="n">
        <x:f>$B$6</x:f>
        <x:v>0.13</x:v>
      </x:c>
      <x:c r="E21" s="52" t="n">
        <x:f>$B$7</x:f>
        <x:v>0.11</x:v>
      </x:c>
      <x:c r="F21" s="52" t="n">
        <x:f>$B$8</x:f>
        <x:v>0.09</x:v>
      </x:c>
      <x:c r="G21" s="52" t="n">
        <x:f>$B$9</x:f>
        <x:v>0.07</x:v>
      </x:c>
    </x:row>
    <x:row r="22">
      <x:c r="A22" t="str">
        <x:v>Discount Factor</x:v>
      </x:c>
      <x:c r="B22" t="n">
        <x:v>1</x:v>
      </x:c>
      <x:c r="C22" s="52" t="n">
        <x:f>1/(1+$B$10)^1</x:f>
        <x:v>0.9216589861751152</x:v>
      </x:c>
      <x:c r="D22" s="52" t="n">
        <x:f>1/(1+$B$10)^2</x:f>
        <x:v>0.8494552867973413</x:v>
      </x:c>
      <x:c r="E22" s="52" t="n">
        <x:f>1/(1+$B$10)^3</x:f>
        <x:v>0.7829080984307292</x:v>
      </x:c>
      <x:c r="F22" s="52" t="n">
        <x:f>1/(1+$B$10)^4</x:f>
        <x:v>0.7215742842679533</x:v>
      </x:c>
      <x:c r="G22" s="52" t="n">
        <x:f>1/(1+$B$10)^5</x:f>
        <x:v>0.6650454232884362</x:v>
      </x:c>
    </x:row>
    <x:row r="23">
      <x:c r="A23" t="str">
        <x:v>PV of FCF</x:v>
      </x:c>
      <x:c r="C23" s="50" t="n">
        <x:f>C20*C22</x:f>
        <x:v>71000.0460829493</x:v>
      </x:c>
      <x:c r="D23" s="50" t="n">
        <x:f>D20*D22</x:f>
        <x:v>73944.74845505318</x:v>
      </x:c>
      <x:c r="E23" s="50" t="n">
        <x:f>E20*E22</x:f>
        <x:v>75648.54450240463</x:v>
      </x:c>
      <x:c r="F23" s="50" t="n">
        <x:f>F20*F22</x:f>
        <x:v>75997.1553065632</x:v>
      </x:c>
      <x:c r="G23" s="50" t="n">
        <x:f>G20*G22</x:f>
        <x:v>74946.50338988261</x:v>
      </x:c>
    </x:row>
    <x:row r="25">
      <x:c r="A25" s="3" t="str">
        <x:v>Valuation Bridge</x:v>
      </x:c>
      <x:c r="B25" s="3"/>
      <x:c r="C25" s="3"/>
      <x:c r="D25" s="3"/>
      <x:c r="E25" s="3" t="str">
        <x:v>DCF Sensitivity ($ / share)</x:v>
      </x:c>
      <x:c r="F25" s="3"/>
      <x:c r="G25" s="3"/>
      <x:c r="H25" s="3"/>
    </x:row>
    <x:row r="26">
      <x:c r="A26" t="str">
        <x:v>PV of Forecast FCF ($mm)</x:v>
      </x:c>
      <x:c r="B26" s="50" t="n">
        <x:f>SUM(C23:G23)</x:f>
        <x:v>371536.9977368529</x:v>
      </x:c>
      <x:c r="E26" t="str">
        <x:v>WACC \ TGR</x:v>
      </x:c>
      <x:c r="F26" t="str">
        <x:v>2.5%</x:v>
      </x:c>
      <x:c r="G26" t="str">
        <x:v>3.0%</x:v>
      </x:c>
      <x:c r="H26" t="str">
        <x:v>3.5%</x:v>
      </x:c>
    </x:row>
    <x:row r="27">
      <x:c r="A27" t="str">
        <x:v>Terminal Value ($mm)</x:v>
      </x:c>
      <x:c r="B27" s="50" t="n">
        <x:f>G20*(1+$B$11)/($B$10-$B$11)</x:f>
        <x:v>2110447.737536075</x:v>
      </x:c>
      <x:c r="E27" t="str">
        <x:v>7.5%</x:v>
      </x:c>
      <x:c r="F27" s="56" t="n">
        <x:f>(C20/(1+0.075)^1+D20/(1+0.075)^2+E20/(1+0.075)^3+F20/(1+0.075)^4+G20/(1+0.075)^5+(G20*(1+0.025)/(0.075-0.025))/(1+0.075)^5+$B$15)/$B$16</x:f>
        <x:v>274.1945115860432</x:v>
      </x:c>
      <x:c r="G27" s="56" t="n">
        <x:f>(C20/(1+0.075)^1+D20/(1+0.075)^2+E20/(1+0.075)^3+F20/(1+0.075)^4+G20/(1+0.075)^5+(G20*(1+0.03)/(0.075-0.03))/(1+0.075)^5+$B$15)/$B$16</x:f>
        <x:v>299.3653350162554</x:v>
      </x:c>
      <x:c r="H27" s="56" t="n">
        <x:f>(C20/(1+0.075)^1+D20/(1+0.075)^2+E20/(1+0.075)^3+F20/(1+0.075)^4+G20/(1+0.075)^5+(G20*(1+0.035)/(0.075-0.035))/(1+0.075)^5+$B$15)/$B$16</x:f>
        <x:v>330.8288643040207</x:v>
      </x:c>
    </x:row>
    <x:row r="28">
      <x:c r="A28" t="str">
        <x:v>PV of Terminal Value ($mm)</x:v>
      </x:c>
      <x:c r="B28" s="50" t="n">
        <x:f>B27*G22</x:f>
        <x:v>1403543.6089378016</x:v>
      </x:c>
      <x:c r="E28" t="str">
        <x:v>8.0%</x:v>
      </x:c>
      <x:c r="F28" s="56" t="n">
        <x:f>(C20/(1+0.08)^1+D20/(1+0.08)^2+E20/(1+0.08)^3+F20/(1+0.08)^4+G20/(1+0.08)^5+(G20*(1+0.025)/(0.08-0.025))/(1+0.08)^5+$B$15)/$B$16</x:f>
        <x:v>249.33589830323015</x:v>
      </x:c>
      <x:c r="G28" s="56" t="n">
        <x:f>(C20/(1+0.08)^1+D20/(1+0.08)^2+E20/(1+0.08)^3+F20/(1+0.08)^4+G20/(1+0.08)^5+(G20*(1+0.03)/(0.08-0.03))/(1+0.08)^5+$B$15)/$B$16</x:f>
        <x:v>269.55147255038924</x:v>
      </x:c>
      <x:c r="H28" s="56" t="n">
        <x:f>(C20/(1+0.08)^1+D20/(1+0.08)^2+E20/(1+0.08)^3+F20/(1+0.08)^4+G20/(1+0.08)^5+(G20*(1+0.035)/(0.08-0.035))/(1+0.08)^5+$B$15)/$B$16</x:f>
        <x:v>294.25939663025025</x:v>
      </x:c>
    </x:row>
    <x:row r="29">
      <x:c r="A29" t="str">
        <x:v>Enterprise Value ($mm)</x:v>
      </x:c>
      <x:c r="B29" s="50" t="n">
        <x:f>B26+B28</x:f>
        <x:v>1775080.6066746544</x:v>
      </x:c>
      <x:c r="E29" t="str">
        <x:v>8.5%</x:v>
      </x:c>
      <x:c r="F29" s="56" t="n">
        <x:f>(C20/(1+0.085)^1+D20/(1+0.085)^2+E20/(1+0.085)^3+F20/(1+0.085)^4+G20/(1+0.085)^5+(G20*(1+0.025)/(0.085-0.025))/(1+0.085)^5+$B$15)/$B$16</x:f>
        <x:v>228.6291405790623</x:v>
      </x:c>
      <x:c r="G29" s="56" t="n">
        <x:f>(C20/(1+0.085)^1+D20/(1+0.085)^2+E20/(1+0.085)^3+F20/(1+0.085)^4+G20/(1+0.085)^5+(G20*(1+0.03)/(0.085-0.03))/(1+0.085)^5+$B$15)/$B$16</x:f>
        <x:v>245.16706129861134</x:v>
      </x:c>
      <x:c r="H29" s="56" t="n">
        <x:f>(C20/(1+0.085)^1+D20/(1+0.085)^2+E20/(1+0.085)^3+F20/(1+0.085)^4+G20/(1+0.085)^5+(G20*(1+0.035)/(0.085-0.035))/(1+0.085)^5+$B$15)/$B$16</x:f>
        <x:v>265.0125661620702</x:v>
      </x:c>
    </x:row>
    <x:row r="30">
      <x:c r="A30" t="str">
        <x:v>Net Cash ($mm)</x:v>
      </x:c>
      <x:c r="B30" s="50" t="n">
        <x:f>B15</x:f>
        <x:v>51414</x:v>
      </x:c>
      <x:c r="E30" t="str">
        <x:v>9.0%</x:v>
      </x:c>
      <x:c r="F30" s="56" t="n">
        <x:f>(C20/(1+0.09)^1+D20/(1+0.09)^2+E20/(1+0.09)^3+F20/(1+0.09)^4+G20/(1+0.09)^5+(G20*(1+0.025)/(0.09-0.025))/(1+0.09)^5+$B$15)/$B$16</x:f>
        <x:v>211.11593317519052</x:v>
      </x:c>
      <x:c r="G30" s="56" t="n">
        <x:f>(C20/(1+0.09)^1+D20/(1+0.09)^2+E20/(1+0.09)^3+F20/(1+0.09)^4+G20/(1+0.09)^5+(G20*(1+0.03)/(0.09-0.03))/(1+0.09)^5+$B$15)/$B$16</x:f>
        <x:v>224.85455596037255</x:v>
      </x:c>
      <x:c r="H30" s="56" t="n">
        <x:f>(C20/(1+0.09)^1+D20/(1+0.09)^2+E20/(1+0.09)^3+F20/(1+0.09)^4+G20/(1+0.09)^5+(G20*(1+0.035)/(0.09-0.035))/(1+0.09)^5+$B$15)/$B$16</x:f>
        <x:v>241.09111016104217</x:v>
      </x:c>
    </x:row>
    <x:row r="31">
      <x:c r="A31" t="str">
        <x:v>Equity Value ($mm)</x:v>
      </x:c>
      <x:c r="B31" s="50" t="n">
        <x:f>B29+B30</x:f>
        <x:v>1826494.6066746544</x:v>
      </x:c>
      <x:c r="E31" t="str">
        <x:v>9.5%</x:v>
      </x:c>
      <x:c r="F31" s="56" t="n">
        <x:f>(C20/(1+0.095)^1+D20/(1+0.095)^2+E20/(1+0.095)^3+F20/(1+0.095)^4+G20/(1+0.095)^5+(G20*(1+0.025)/(0.095-0.025))/(1+0.095)^5+$B$15)/$B$16</x:f>
        <x:v>196.11177717303474</x:v>
      </x:c>
      <x:c r="G31" s="56" t="n">
        <x:f>(C20/(1+0.095)^1+D20/(1+0.095)^2+E20/(1+0.095)^3+F20/(1+0.095)^4+G20/(1+0.095)^5+(G20*(1+0.03)/(0.095-0.03))/(1+0.095)^5+$B$15)/$B$16</x:f>
        <x:v>207.6741222021157</x:v>
      </x:c>
      <x:c r="H31" s="56" t="n">
        <x:f>(C20/(1+0.095)^1+D20/(1+0.095)^2+E20/(1+0.095)^3+F20/(1+0.095)^4+G20/(1+0.095)^5+(G20*(1+0.035)/(0.095-0.035))/(1+0.095)^5+$B$15)/$B$16</x:f>
        <x:v>221.16352473604348</x:v>
      </x:c>
    </x:row>
    <x:row r="32">
      <x:c r="A32" t="str">
        <x:v>Diluted Shares (mm)</x:v>
      </x:c>
      <x:c r="B32" s="54" t="n">
        <x:f>B16</x:f>
        <x:v>7450</x:v>
      </x:c>
    </x:row>
    <x:row r="33">
      <x:c r="A33" s="60" t="str">
        <x:v>DCF Implied Value / Share</x:v>
      </x:c>
      <x:c r="B33" s="61" t="n">
        <x:f>B31/B32</x:f>
        <x:v>245.16706129861134</x:v>
      </x:c>
    </x:row>
  </x:sheetData>
  <x:mergeCells>
    <x:mergeCell ref="A1:H1"/>
    <x:mergeCell ref="A3:D3"/>
    <x:mergeCell ref="A18:H18"/>
    <x:mergeCell ref="A25:D25"/>
    <x:mergeCell ref="E25:H25"/>
  </x:mergeCells>
  <x:conditionalFormatting sqref="F27:H3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</x:cols>
  <x:sheetData>
    <x:row r="1">
      <x:c r="A1" s="10" t="str">
        <x:v>Comparable Company Valuation — Microsoft (MSFT)</x:v>
      </x:c>
      <x:c r="B1" s="10"/>
      <x:c r="C1" s="10"/>
      <x:c r="D1" s="10"/>
      <x:c r="E1" s="10"/>
      <x:c r="F1" s="10"/>
      <x:c r="G1" s="10"/>
      <x:c r="H1" s="10"/>
    </x:row>
    <x:row r="3">
      <x:c r="A3" s="13" t="str">
        <x:v>Company</x:v>
      </x:c>
      <x:c r="B3" s="13" t="str">
        <x:v>Ticker</x:v>
      </x:c>
      <x:c r="C3" s="13" t="str">
        <x:v>Share Price ($)</x:v>
      </x:c>
      <x:c r="D3" s="13" t="str">
        <x:v>P/E</x:v>
      </x:c>
      <x:c r="E3" s="13" t="str">
        <x:v>Forward P/E</x:v>
      </x:c>
      <x:c r="F3" s="13" t="str">
        <x:v>EV / Sales</x:v>
      </x:c>
      <x:c r="G3" s="13" t="str">
        <x:v>P / FCF</x:v>
      </x:c>
      <x:c r="H3" s="13" t="str">
        <x:v>Source</x:v>
      </x:c>
    </x:row>
    <x:row r="4">
      <x:c r="A4" t="str">
        <x:v>Microsoft</x:v>
      </x:c>
      <x:c r="B4" t="str">
        <x:v>MSFT</x:v>
      </x:c>
      <x:c r="C4" s="74" t="n">
        <x:v>481.63</x:v>
      </x:c>
      <x:c r="D4" s="75" t="n">
        <x:v>27.16</x:v>
      </x:c>
      <x:c r="E4" s="75" t="n">
        <x:v>24.78</x:v>
      </x:c>
      <x:c r="F4" s="75" t="n">
        <x:v>11.07</x:v>
      </x:c>
      <x:c r="G4" s="75" t="n">
        <x:v>54.04</x:v>
      </x:c>
      <x:c r="H4" t="str">
        <x:v>StockAnalysis / Aug-26</x:v>
      </x:c>
    </x:row>
    <x:row r="5">
      <x:c r="A5" t="str">
        <x:v>Alphabet</x:v>
      </x:c>
      <x:c r="B5" t="str">
        <x:v>GOOGL</x:v>
      </x:c>
      <x:c r="C5" s="74" t="n">
        <x:v>362.43</x:v>
      </x:c>
      <x:c r="D5" s="75" t="n">
        <x:v>18.18</x:v>
      </x:c>
      <x:c r="E5" s="75" t="n">
        <x:v>27.28</x:v>
      </x:c>
      <x:c r="F5" s="75" t="n">
        <x:v>9.94</x:v>
      </x:c>
      <x:c r="G5" s="75" t="n">
        <x:v>83.2</x:v>
      </x:c>
      <x:c r="H5" t="str">
        <x:v>StockAnalysis / Aug-26</x:v>
      </x:c>
    </x:row>
    <x:row r="6">
      <x:c r="A6" t="str">
        <x:v>Oracle</x:v>
      </x:c>
      <x:c r="B6" t="str">
        <x:v>ORCL</x:v>
      </x:c>
      <x:c r="C6" s="74" t="n">
        <x:v>144.39</x:v>
      </x:c>
      <x:c r="D6" s="75" t="n">
        <x:v>24.77</x:v>
      </x:c>
      <x:c r="E6" s="75" t="n">
        <x:v>17.93</x:v>
      </x:c>
      <x:c r="F6" s="75" t="n">
        <x:v>6.17</x:v>
      </x:c>
      <x:c r="G6" s="75"/>
      <x:c r="H6" t="str">
        <x:v>StockAnalysis / Aug-26</x:v>
      </x:c>
    </x:row>
    <x:row r="7">
      <x:c r="A7" t="str">
        <x:v>Salesforce</x:v>
      </x:c>
      <x:c r="B7" t="str">
        <x:v>CRM</x:v>
      </x:c>
      <x:c r="C7" s="74" t="n">
        <x:v>192.98</x:v>
      </x:c>
      <x:c r="D7" s="75" t="n">
        <x:v>22.4</x:v>
      </x:c>
      <x:c r="E7" s="75" t="n">
        <x:v>13.85</x:v>
      </x:c>
      <x:c r="F7" s="75" t="n">
        <x:v>3.69</x:v>
      </x:c>
      <x:c r="G7" s="75" t="n">
        <x:v>10.78</x:v>
      </x:c>
      <x:c r="H7" t="str">
        <x:v>StockAnalysis / Aug-26</x:v>
      </x:c>
    </x:row>
    <x:row r="8">
      <x:c r="D8" s="70"/>
      <x:c r="E8" s="70"/>
      <x:c r="F8" s="70"/>
      <x:c r="G8" s="70"/>
    </x:row>
    <x:row r="9">
      <x:c r="A9" s="67" t="str">
        <x:v>Peer Median</x:v>
      </x:c>
      <x:c r="B9" s="67" t="str"/>
      <x:c r="C9" s="67" t="str"/>
      <x:c r="D9" s="71" t="n">
        <x:f>MEDIAN(D5:D7)</x:f>
        <x:v>22.4</x:v>
      </x:c>
      <x:c r="E9" s="71" t="n">
        <x:f>MEDIAN(E5:E7)</x:f>
        <x:v>17.93</x:v>
      </x:c>
      <x:c r="F9" s="71" t="n">
        <x:f>MEDIAN(F5:F7)</x:f>
        <x:v>6.17</x:v>
      </x:c>
      <x:c r="G9" s="71" t="n">
        <x:f>MEDIAN(G5,G7)</x:f>
        <x:v>46.99</x:v>
      </x:c>
    </x:row>
    <x:row r="12">
      <x:c r="A12" s="3" t="str">
        <x:v>Implied Valuation</x:v>
      </x:c>
      <x:c r="B12" s="3"/>
      <x:c r="C12" s="3"/>
      <x:c r="D12" s="3"/>
      <x:c r="E12" s="3" t="str">
        <x:v>Interpretation</x:v>
      </x:c>
      <x:c r="F12" s="3"/>
      <x:c r="G12" s="3"/>
      <x:c r="H12" s="3"/>
    </x:row>
    <x:row r="13">
      <x:c r="A13" t="str">
        <x:v>FY26 Diluted EPS ($)</x:v>
      </x:c>
      <x:c r="B13" s="74" t="n">
        <x:v>17.95</x:v>
      </x:c>
      <x:c r="E13" s="7" t="str">
        <x:v>Microsoft trades above the peer median on P/E and EV/Sales. The relative valuation therefore produces implied values below the current share price. Peers are not identical businesses, so this is a market-based cross-check rather than a standalone conclusion.</x:v>
      </x:c>
      <x:c r="F13" s="7"/>
      <x:c r="G13" s="7"/>
      <x:c r="H13" s="7"/>
    </x:row>
    <x:row r="14">
      <x:c r="A14" t="str">
        <x:v>FY26 Revenue ($mm)</x:v>
      </x:c>
      <x:c r="B14" s="20" t="n">
        <x:v>331839</x:v>
      </x:c>
      <x:c r="E14" s="7"/>
      <x:c r="F14" s="7"/>
      <x:c r="G14" s="7"/>
      <x:c r="H14" s="7"/>
    </x:row>
    <x:row r="15">
      <x:c r="A15" t="str">
        <x:v>Net Cash ($mm)</x:v>
      </x:c>
      <x:c r="B15" s="20" t="n">
        <x:v>51414</x:v>
      </x:c>
      <x:c r="E15" s="7"/>
      <x:c r="F15" s="7"/>
      <x:c r="G15" s="7"/>
      <x:c r="H15" s="7"/>
    </x:row>
    <x:row r="16">
      <x:c r="A16" t="str">
        <x:v>Diluted Shares (mm)</x:v>
      </x:c>
      <x:c r="B16" s="78" t="n">
        <x:v>7450</x:v>
      </x:c>
      <x:c r="E16" s="7"/>
      <x:c r="F16" s="7"/>
      <x:c r="G16" s="7"/>
      <x:c r="H16" s="7"/>
    </x:row>
    <x:row r="17">
      <x:c r="A17" t="str">
        <x:v>P/E Implied Price</x:v>
      </x:c>
      <x:c r="B17" s="56" t="n">
        <x:f>B13*D9</x:f>
        <x:v>402.08</x:v>
      </x:c>
      <x:c r="E17" s="7"/>
      <x:c r="F17" s="7"/>
      <x:c r="G17" s="7"/>
      <x:c r="H17" s="7"/>
    </x:row>
    <x:row r="18">
      <x:c r="A18" t="str">
        <x:v>EV / Sales Implied Price</x:v>
      </x:c>
      <x:c r="B18" s="56" t="n">
        <x:f>(B14*F9+B15)/B16</x:f>
        <x:v>281.7262590604027</x:v>
      </x:c>
      <x:c r="E18" s="7"/>
      <x:c r="F18" s="7"/>
      <x:c r="G18" s="7"/>
      <x:c r="H18" s="7"/>
    </x:row>
  </x:sheetData>
  <x:mergeCells>
    <x:mergeCell ref="A1:H1"/>
    <x:mergeCell ref="A12:D12"/>
    <x:mergeCell ref="E12:H12"/>
    <x:mergeCell ref="E13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10" t="str">
        <x:v>Microsoft Historical Financials &amp; Operating Trends</x:v>
      </x:c>
      <x:c r="B1" s="10"/>
      <x:c r="C1" s="10"/>
      <x:c r="D1" s="10"/>
      <x:c r="E1" s="10"/>
      <x:c r="F1" s="10"/>
    </x:row>
    <x:row r="3">
      <x:c r="A3" s="13" t="str">
        <x:v>$ in millions, except per-share data</x:v>
      </x:c>
      <x:c r="B3" s="13" t="str">
        <x:v>FY2023A</x:v>
      </x:c>
      <x:c r="C3" s="13" t="str">
        <x:v>FY2024A</x:v>
      </x:c>
      <x:c r="D3" s="13" t="str">
        <x:v>FY2025A</x:v>
      </x:c>
      <x:c r="E3" s="13" t="str">
        <x:v>FY2026A</x:v>
      </x:c>
      <x:c r="F3" s="13" t="str">
        <x:v>FY26 YoY</x:v>
      </x:c>
    </x:row>
    <x:row r="4">
      <x:c r="A4" t="str">
        <x:v>Revenue</x:v>
      </x:c>
      <x:c r="B4" s="20" t="n">
        <x:v>211915</x:v>
      </x:c>
      <x:c r="C4" s="20" t="n">
        <x:v>245122</x:v>
      </x:c>
      <x:c r="D4" s="20" t="n">
        <x:v>281724</x:v>
      </x:c>
      <x:c r="E4" s="20" t="n">
        <x:v>331839</x:v>
      </x:c>
      <x:c r="F4" s="25" t="n">
        <x:f>E4/D4-1</x:f>
        <x:v>0.17788686799846665</x:v>
      </x:c>
    </x:row>
    <x:row r="5">
      <x:c r="A5" t="str">
        <x:v>Revenue Growth</x:v>
      </x:c>
      <x:c r="B5" s="24"/>
      <x:c r="C5" s="25" t="n">
        <x:f>C4/B4-1</x:f>
        <x:v>0.1566996201307127</x:v>
      </x:c>
      <x:c r="D5" s="25" t="n">
        <x:f>D4/C4-1</x:f>
        <x:v>0.14932156232406713</x:v>
      </x:c>
      <x:c r="E5" s="25" t="n">
        <x:f>E4/D4-1</x:f>
        <x:v>0.17788686799846665</x:v>
      </x:c>
      <x:c r="F5" s="25"/>
    </x:row>
    <x:row r="6">
      <x:c r="A6" t="str">
        <x:v>Operating Income</x:v>
      </x:c>
      <x:c r="B6" s="20" t="n">
        <x:v>88523</x:v>
      </x:c>
      <x:c r="C6" s="20" t="n">
        <x:v>109433</x:v>
      </x:c>
      <x:c r="D6" s="20" t="n">
        <x:v>128528</x:v>
      </x:c>
      <x:c r="E6" s="20" t="n">
        <x:v>155237</x:v>
      </x:c>
      <x:c r="F6" s="25" t="n">
        <x:f>E6/D6-1</x:f>
        <x:v>0.20780685920577624</x:v>
      </x:c>
    </x:row>
    <x:row r="7">
      <x:c r="A7" t="str">
        <x:v>Operating Margin</x:v>
      </x:c>
      <x:c r="B7" s="25" t="n">
        <x:f>B6/B4</x:f>
        <x:v>0.417728806361041</x:v>
      </x:c>
      <x:c r="C7" s="25" t="n">
        <x:f>C6/C4</x:f>
        <x:v>0.44644299573273716</x:v>
      </x:c>
      <x:c r="D7" s="25" t="n">
        <x:f>D6/D4</x:f>
        <x:v>0.4562195624085985</x:v>
      </x:c>
      <x:c r="E7" s="25" t="n">
        <x:f>E6/E4</x:f>
        <x:v>0.4678081840892722</x:v>
      </x:c>
      <x:c r="F7" s="25"/>
    </x:row>
    <x:row r="8">
      <x:c r="A8" t="str">
        <x:v>Net Income</x:v>
      </x:c>
      <x:c r="B8" s="20" t="n">
        <x:v>72361</x:v>
      </x:c>
      <x:c r="C8" s="20" t="n">
        <x:v>88136</x:v>
      </x:c>
      <x:c r="D8" s="20" t="n">
        <x:v>101832</x:v>
      </x:c>
      <x:c r="E8" s="20" t="n">
        <x:v>133749</x:v>
      </x:c>
      <x:c r="F8" s="25" t="n">
        <x:f>E8/D8-1</x:f>
        <x:v>0.3134279990572708</x:v>
      </x:c>
    </x:row>
    <x:row r="9">
      <x:c r="A9" t="str">
        <x:v>Diluted EPS ($)</x:v>
      </x:c>
      <x:c r="B9" s="28" t="n">
        <x:v>9.68</x:v>
      </x:c>
      <x:c r="C9" s="28" t="n">
        <x:v>11.8</x:v>
      </x:c>
      <x:c r="D9" s="28" t="n">
        <x:v>13.64</x:v>
      </x:c>
      <x:c r="E9" s="28" t="n">
        <x:v>17.95</x:v>
      </x:c>
      <x:c r="F9" s="25" t="n">
        <x:f>E9/D9-1</x:f>
        <x:v>0.31598240469208205</x:v>
      </x:c>
    </x:row>
    <x:row r="10">
      <x:c r="A10" t="str">
        <x:v>Cash Flow from Operations</x:v>
      </x:c>
      <x:c r="B10" s="20" t="n">
        <x:v>87582</x:v>
      </x:c>
      <x:c r="C10" s="20" t="n">
        <x:v>118548</x:v>
      </x:c>
      <x:c r="D10" s="20" t="n">
        <x:v>136162</x:v>
      </x:c>
      <x:c r="E10" s="20" t="n">
        <x:v>182935</x:v>
      </x:c>
      <x:c r="F10" s="25" t="n">
        <x:f>E10/D10-1</x:f>
        <x:v>0.34350993669305674</x:v>
      </x:c>
    </x:row>
    <x:row r="11">
      <x:c r="A11" t="str">
        <x:v>Capital Expenditures</x:v>
      </x:c>
      <x:c r="B11" s="20" t="n">
        <x:v>28107</x:v>
      </x:c>
      <x:c r="C11" s="20" t="n">
        <x:v>44477</x:v>
      </x:c>
      <x:c r="D11" s="20" t="n">
        <x:v>64551</x:v>
      </x:c>
      <x:c r="E11" s="20" t="n">
        <x:v>115948</x:v>
      </x:c>
      <x:c r="F11" s="25" t="n">
        <x:f>E11/D11-1</x:f>
        <x:v>0.7962231413920775</x:v>
      </x:c>
    </x:row>
    <x:row r="12">
      <x:c r="A12" s="32" t="str">
        <x:v>Free Cash Flow</x:v>
      </x:c>
      <x:c r="B12" s="33" t="n">
        <x:f>B10-B11</x:f>
        <x:v>59475</x:v>
      </x:c>
      <x:c r="C12" s="33" t="n">
        <x:f>C10-C11</x:f>
        <x:v>74071</x:v>
      </x:c>
      <x:c r="D12" s="33" t="n">
        <x:f>D10-D11</x:f>
        <x:v>71611</x:v>
      </x:c>
      <x:c r="E12" s="33" t="n">
        <x:f>E10-E11</x:f>
        <x:v>66987</x:v>
      </x:c>
      <x:c r="F12" s="34" t="n">
        <x:f>E12/D12-1</x:f>
        <x:v>-0.06457108544776635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8" hidden="0" customWidth="1"/>
    <x:col min="4" max="4" width="15" hidden="0" customWidth="1"/>
  </x:cols>
  <x:sheetData>
    <x:row r="1">
      <x:c r="A1" s="6" t="str">
        <x:v>Source</x:v>
      </x:c>
      <x:c r="B1" s="6" t="str">
        <x:v>URL</x:v>
      </x:c>
      <x:c r="C1" s="6" t="str">
        <x:v>Data Used</x:v>
      </x:c>
      <x:c r="D1" s="6" t="str">
        <x:v>As of</x:v>
      </x:c>
    </x:row>
    <x:row r="2">
      <x:c r="A2" s="7" t="str">
        <x:v>Microsoft FY26 Q4 Earnings Release</x:v>
      </x:c>
      <x:c r="B2" s="7" t="str">
        <x:v>https://news.microsoft.com/source/2026/07/29/microsoft-cloud-and-ai-strength-fuels-fourth-quarter-results-4/</x:v>
      </x:c>
      <x:c r="C2" s="7" t="str">
        <x:v>FY26 revenue, operating income, net income, EPS, Azure growth</x:v>
      </x:c>
      <x:c r="D2" s="7" t="str">
        <x:v>2026-07-29</x:v>
      </x:c>
    </x:row>
    <x:row r="3">
      <x:c r="A3" s="7" t="str">
        <x:v>Microsoft FY25 Q4 Income Statement</x:v>
      </x:c>
      <x:c r="B3" s="7" t="str">
        <x:v>https://www.microsoft.com/en-us/Investor/earnings/FY-2025-Q4/income-statements</x:v>
      </x:c>
      <x:c r="C3" s="7" t="str">
        <x:v>FY23-FY25 revenue, operating income, net income</x:v>
      </x:c>
      <x:c r="D3" s="7" t="str">
        <x:v>2025-06-30</x:v>
      </x:c>
    </x:row>
    <x:row r="4">
      <x:c r="A4" s="7" t="str">
        <x:v>Microsoft FY25 Q4 Cash Flows</x:v>
      </x:c>
      <x:c r="B4" s="7" t="str">
        <x:v>https://www.microsoft.com/en-us/Investor/earnings/FY-2025-Q4/cash-flows</x:v>
      </x:c>
      <x:c r="C4" s="7" t="str">
        <x:v>FY23-FY25 CFO, capex and FCF</x:v>
      </x:c>
      <x:c r="D4" s="7" t="str">
        <x:v>2025-06-30</x:v>
      </x:c>
    </x:row>
    <x:row r="5">
      <x:c r="A5" s="7" t="str">
        <x:v>Microsoft FY25 Q4 Balance Sheet</x:v>
      </x:c>
      <x:c r="B5" s="7" t="str">
        <x:v>https://www.microsoft.com/en-us/investor/earnings/fy-2025-q4/balance-sheets</x:v>
      </x:c>
      <x:c r="C5" s="7" t="str">
        <x:v>Cash, investments and debt used for net cash adjustment</x:v>
      </x:c>
      <x:c r="D5" s="7" t="str">
        <x:v>2025-06-30</x:v>
      </x:c>
    </x:row>
    <x:row r="6">
      <x:c r="A6" s="7" t="str">
        <x:v>Microsoft FY26 Q4 Earnings Call / recap</x:v>
      </x:c>
      <x:c r="B6" s="7" t="str">
        <x:v>https://www.marketbeat.com/earnings/reports/2026-7-29-microsoft-co-stock/</x:v>
      </x:c>
      <x:c r="C6" s="7" t="str">
        <x:v>FY26 CFO and free cash flow</x:v>
      </x:c>
      <x:c r="D6" s="7" t="str">
        <x:v>2026-07-29</x:v>
      </x:c>
    </x:row>
    <x:row r="7">
      <x:c r="A7" s="7" t="str">
        <x:v>StockAnalysis - Microsoft Ratios</x:v>
      </x:c>
      <x:c r="B7" s="7" t="str">
        <x:v>https://stockanalysis.com/stocks/msft/financials/ratios/</x:v>
      </x:c>
      <x:c r="C7" s="7" t="str">
        <x:v>Current MSFT valuation multiples</x:v>
      </x:c>
      <x:c r="D7" s="7" t="str">
        <x:v>2026-08</x:v>
      </x:c>
    </x:row>
    <x:row r="8">
      <x:c r="A8" s="7" t="str">
        <x:v>StockAnalysis - Peer Ratios</x:v>
      </x:c>
      <x:c r="B8" s="7" t="str">
        <x:v>https://stockanalysis.com/stocks/googl/financials/ratios/</x:v>
      </x:c>
      <x:c r="C8" s="7" t="str">
        <x:v>Alphabet peer multiples; Oracle/Salesforce URLs below</x:v>
      </x:c>
      <x:c r="D8" s="7" t="str">
        <x:v>2026-08</x:v>
      </x:c>
    </x:row>
    <x:row r="9">
      <x:c r="A9" s="7" t="str">
        <x:v>MarketWatch market close reference</x:v>
      </x:c>
      <x:c r="B9" s="7" t="str">
        <x:v>https://www.marketwatch.com/data-news/snap-inc-stock-underperforms-tuesday-when-compared-to-competitors-36982a1d-6126abef32c6</x:v>
      </x:c>
      <x:c r="C9" s="7" t="str">
        <x:v>MSFT closing price $481.63 on Aug. 18, 2026</x:v>
      </x:c>
      <x:c r="D9" s="7" t="str">
        <x:v>2026-08-18</x:v>
      </x:c>
    </x:row>
    <x:row r="10">
      <x:c r="A10" s="7"/>
      <x:c r="B10" s="7"/>
      <x:c r="C10" s="7"/>
      <x:c r="D10" s="7"/>
    </x:row>
    <x:row r="11">
      <x:c r="A11" s="7" t="str">
        <x:v>Oracle ratios</x:v>
      </x:c>
      <x:c r="B11" s="7" t="str">
        <x:v>https://stockanalysis.com/stocks/orcl/financials/ratios/</x:v>
      </x:c>
      <x:c r="C11" s="7"/>
      <x:c r="D11" s="7"/>
    </x:row>
    <x:row r="12">
      <x:c r="A12" s="7" t="str">
        <x:v>Salesforce ratios</x:v>
      </x:c>
      <x:c r="B12" s="7" t="str">
        <x:v>https://stockanalysis.com/stocks/crm/financials/ratios/</x:v>
      </x:c>
      <x:c r="C12" s="7"/>
      <x:c r="D12" s="7"/>
    </x:row>
    <x:row r="13">
      <x:c r="A13" s="7" t="str">
        <x:v>Project note</x:v>
      </x:c>
      <x:c r="B13" s="7" t="str">
        <x:v>Educational/resume portfolio model; not investment advice.</x:v>
      </x:c>
      <x:c r="C13" s="7"/>
      <x:c r="D13" s="7"/>
    </x:row>
  </x:sheetData>
  <x:pageMargins left="0.7" right="0.7" top="0.75" bottom="0.75" header="0.3" footer="0.3"/>
</x:worksheet>
</file>